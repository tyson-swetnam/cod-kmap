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oescher/Documents/Battelle/Strategic Projects/National/Projects/Coastal - NEW/Budget/"/>
    </mc:Choice>
  </mc:AlternateContent>
  <xr:revisionPtr revIDLastSave="0" documentId="13_ncr:1_{49F7F6C4-C55D-FB43-8D7E-119246D2D8E9}" xr6:coauthVersionLast="47" xr6:coauthVersionMax="47" xr10:uidLastSave="{00000000-0000-0000-0000-000000000000}"/>
  <bookViews>
    <workbookView xWindow="4860" yWindow="8300" windowWidth="28740" windowHeight="19220" xr2:uid="{554CC006-AC17-E240-9482-875B80579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61" i="1" s="1"/>
  <c r="F8" i="1" s="1"/>
  <c r="C56" i="1"/>
  <c r="C49" i="1"/>
  <c r="C60" i="1"/>
  <c r="C53" i="1"/>
  <c r="C51" i="1"/>
  <c r="C50" i="1"/>
  <c r="C65" i="1"/>
  <c r="C64" i="1"/>
  <c r="C63" i="1"/>
  <c r="C66" i="1"/>
  <c r="C41" i="1"/>
  <c r="C40" i="1"/>
  <c r="C17" i="1"/>
  <c r="C37" i="1"/>
  <c r="C35" i="1"/>
  <c r="C34" i="1"/>
  <c r="C33" i="1"/>
  <c r="C32" i="1"/>
  <c r="C31" i="1"/>
  <c r="C26" i="1"/>
  <c r="C28" i="1"/>
  <c r="C25" i="1"/>
  <c r="C23" i="1"/>
  <c r="C22" i="1"/>
  <c r="C19" i="1"/>
  <c r="C18" i="1"/>
  <c r="C14" i="1"/>
  <c r="C16" i="1"/>
  <c r="C11" i="1"/>
  <c r="C10" i="1"/>
  <c r="C9" i="1"/>
  <c r="C8" i="1"/>
  <c r="C7" i="1"/>
  <c r="C15" i="1"/>
  <c r="C3" i="1"/>
  <c r="C6" i="1"/>
  <c r="C5" i="1"/>
  <c r="C4" i="1"/>
  <c r="C54" i="1" l="1"/>
  <c r="F7" i="1" s="1"/>
  <c r="C47" i="1"/>
  <c r="F6" i="1" s="1"/>
  <c r="C67" i="1"/>
  <c r="F9" i="1" s="1"/>
  <c r="C38" i="1"/>
  <c r="F5" i="1" s="1"/>
  <c r="C29" i="1"/>
  <c r="F4" i="1" s="1"/>
  <c r="C20" i="1"/>
  <c r="F3" i="1" s="1"/>
  <c r="F12" i="1" s="1"/>
  <c r="C12" i="1"/>
  <c r="F2" i="1" s="1"/>
  <c r="F10" i="1" l="1"/>
  <c r="F11" i="1" l="1"/>
  <c r="F13" i="1" s="1"/>
</calcChain>
</file>

<file path=xl/sharedStrings.xml><?xml version="1.0" encoding="utf-8"?>
<sst xmlns="http://schemas.openxmlformats.org/spreadsheetml/2006/main" count="87" uniqueCount="60">
  <si>
    <t>Project Management</t>
  </si>
  <si>
    <t>Engineering</t>
  </si>
  <si>
    <t>Construction</t>
  </si>
  <si>
    <t>CyberInfrastructure</t>
  </si>
  <si>
    <t>Workforce Development</t>
  </si>
  <si>
    <t>Science Management</t>
  </si>
  <si>
    <t>staff</t>
  </si>
  <si>
    <t>advisory board</t>
  </si>
  <si>
    <t>PM/Controls</t>
  </si>
  <si>
    <t>Site designs</t>
  </si>
  <si>
    <t>GeoTech</t>
  </si>
  <si>
    <t>Power/Comms</t>
  </si>
  <si>
    <t>Install</t>
  </si>
  <si>
    <t>V+V</t>
  </si>
  <si>
    <t>Assemblies</t>
  </si>
  <si>
    <t>Planning</t>
  </si>
  <si>
    <t>Tech Board</t>
  </si>
  <si>
    <t>Education and Engagement</t>
  </si>
  <si>
    <t>Curricula</t>
  </si>
  <si>
    <t>webservices</t>
  </si>
  <si>
    <t>Teaming Partners (management)</t>
  </si>
  <si>
    <t>pipeline development</t>
  </si>
  <si>
    <t>Commissioning</t>
  </si>
  <si>
    <t>Partnership development</t>
  </si>
  <si>
    <t>Reporting</t>
  </si>
  <si>
    <t>CI design and Prototyping</t>
  </si>
  <si>
    <t>Physical Documentation</t>
  </si>
  <si>
    <t>Information Documentation</t>
  </si>
  <si>
    <t>SOPs</t>
  </si>
  <si>
    <t>Training</t>
  </si>
  <si>
    <t>Support Facilities</t>
  </si>
  <si>
    <t>Staff</t>
  </si>
  <si>
    <t>data flows / data produsts</t>
  </si>
  <si>
    <t>Informatics / Semantic Ontologies</t>
  </si>
  <si>
    <t>WebServices (portal)</t>
  </si>
  <si>
    <t>independent evaluation</t>
  </si>
  <si>
    <t>Social Dimension</t>
  </si>
  <si>
    <t>Discovery / Development Platform</t>
  </si>
  <si>
    <t>assume 5 fulltime staff, ramped up over 5 years</t>
  </si>
  <si>
    <t>assume 1/2 FTE to manage over 5 y</t>
  </si>
  <si>
    <t>subtotal</t>
  </si>
  <si>
    <t>Sys Eng + Quality Control</t>
  </si>
  <si>
    <t>assume 2.5 fulltime staff, ramped up over 2.5 years</t>
  </si>
  <si>
    <t>assume 2 fulltime staff, ramped up over 5 years</t>
  </si>
  <si>
    <t>travel</t>
  </si>
  <si>
    <t>Site Selection</t>
  </si>
  <si>
    <t>Permitting</t>
  </si>
  <si>
    <t>Sensors (capital)</t>
  </si>
  <si>
    <t>Site Infra. (captial)</t>
  </si>
  <si>
    <t>Cal/Val (staff, design, capital)</t>
  </si>
  <si>
    <t>Planning/staff</t>
  </si>
  <si>
    <t>Hardware (design, capital)</t>
  </si>
  <si>
    <t>removing technical barriers</t>
  </si>
  <si>
    <t>Workshops/Training</t>
  </si>
  <si>
    <t>assumes 12 members 1000 honorarium, 2 times per year, 5 years</t>
  </si>
  <si>
    <t>"Transition 2 Operations"</t>
  </si>
  <si>
    <t>total</t>
  </si>
  <si>
    <t>indirect (0.45)</t>
  </si>
  <si>
    <t>management fee</t>
  </si>
  <si>
    <t>assumes 25 CONUS sites, no facilities costs (other than indirect), likely all costs are underestimated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</si>
</sst>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"/>
    <numFmt numFmtId="166" formatCode="&quot;$&quot;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166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A35A-39AD-D747-B965-7296458A4415}">
  <dimension ref="A1:F67"/>
  <sheetViews>
    <sheetView tabSelected="1" zoomScale="133" workbookViewId="0">
      <selection activeCell="B1" sqref="B1"/>
    </sheetView>
  </sheetViews>
  <sheetFormatPr baseColWidth="10" defaultRowHeight="16" x14ac:dyDescent="0.2"/>
  <cols>
    <col min="1" max="1" width="10.83203125" style="1"/>
    <col min="2" max="2" width="29" style="1" bestFit="1" customWidth="1"/>
    <col min="3" max="3" width="13.6640625" style="1" bestFit="1" customWidth="1"/>
    <col min="4" max="4" width="10.83203125" style="1"/>
    <col min="5" max="5" width="24.5" style="1" bestFit="1" customWidth="1"/>
    <col min="6" max="6" width="14.6640625" bestFit="1" customWidth="1"/>
  </cols>
  <sheetData>
    <row r="1" spans="1:6" x14ac:dyDescent="0.2">
      <c r="B1" s="1" t="s">
        <v>59</v>
      </c>
    </row>
    <row r="2" spans="1:6" x14ac:dyDescent="0.2">
      <c r="A2" s="4" t="s">
        <v>5</v>
      </c>
      <c r="E2" s="4" t="s">
        <v>5</v>
      </c>
      <c r="F2" s="5">
        <f>C12</f>
        <v>16896250</v>
      </c>
    </row>
    <row r="3" spans="1:6" x14ac:dyDescent="0.2">
      <c r="B3" s="1" t="s">
        <v>6</v>
      </c>
      <c r="C3" s="3">
        <f>(5*225000*5)</f>
        <v>5625000</v>
      </c>
      <c r="D3" s="1" t="s">
        <v>38</v>
      </c>
      <c r="E3" s="4" t="s">
        <v>0</v>
      </c>
      <c r="F3" s="5">
        <f>C20</f>
        <v>11368750</v>
      </c>
    </row>
    <row r="4" spans="1:6" x14ac:dyDescent="0.2">
      <c r="B4" s="1" t="s">
        <v>7</v>
      </c>
      <c r="C4" s="3">
        <f>(12*1000*5*2)</f>
        <v>120000</v>
      </c>
      <c r="D4" s="1" t="s">
        <v>54</v>
      </c>
      <c r="E4" s="4" t="s">
        <v>1</v>
      </c>
      <c r="F4" s="5">
        <f>C29</f>
        <v>46975000</v>
      </c>
    </row>
    <row r="5" spans="1:6" x14ac:dyDescent="0.2">
      <c r="B5" s="1" t="s">
        <v>16</v>
      </c>
      <c r="C5" s="3">
        <f>(12*1000*5*2)</f>
        <v>120000</v>
      </c>
      <c r="E5" s="4" t="s">
        <v>2</v>
      </c>
      <c r="F5" s="5">
        <f>C38</f>
        <v>41106250</v>
      </c>
    </row>
    <row r="6" spans="1:6" x14ac:dyDescent="0.2">
      <c r="B6" s="1" t="s">
        <v>20</v>
      </c>
      <c r="C6" s="3">
        <f>(0.5*225000*5)</f>
        <v>562500</v>
      </c>
      <c r="D6" s="1" t="s">
        <v>39</v>
      </c>
      <c r="E6" s="4" t="s">
        <v>3</v>
      </c>
      <c r="F6" s="5">
        <f>C47</f>
        <v>44875000</v>
      </c>
    </row>
    <row r="7" spans="1:6" x14ac:dyDescent="0.2">
      <c r="B7" s="1" t="s">
        <v>26</v>
      </c>
      <c r="C7" s="3">
        <f>(2.5*225000*2.5)</f>
        <v>1406250</v>
      </c>
      <c r="D7" s="1" t="s">
        <v>42</v>
      </c>
      <c r="E7" s="4" t="s">
        <v>17</v>
      </c>
      <c r="F7" s="5">
        <f>C54</f>
        <v>38000000</v>
      </c>
    </row>
    <row r="8" spans="1:6" x14ac:dyDescent="0.2">
      <c r="B8" s="1" t="s">
        <v>27</v>
      </c>
      <c r="C8" s="3">
        <f>(2.5*225000*2.5)</f>
        <v>1406250</v>
      </c>
      <c r="D8" s="1" t="s">
        <v>42</v>
      </c>
      <c r="E8" s="4" t="s">
        <v>4</v>
      </c>
      <c r="F8" s="5">
        <f>C61</f>
        <v>11962505</v>
      </c>
    </row>
    <row r="9" spans="1:6" x14ac:dyDescent="0.2">
      <c r="B9" s="1" t="s">
        <v>36</v>
      </c>
      <c r="C9" s="3">
        <f>(2*225000*5)</f>
        <v>2250000</v>
      </c>
      <c r="D9" s="1" t="s">
        <v>43</v>
      </c>
      <c r="E9" s="4" t="s">
        <v>55</v>
      </c>
      <c r="F9" s="5">
        <f>C67</f>
        <v>40312500</v>
      </c>
    </row>
    <row r="10" spans="1:6" x14ac:dyDescent="0.2">
      <c r="B10" s="1" t="s">
        <v>44</v>
      </c>
      <c r="C10" s="3">
        <f>(800000*5)</f>
        <v>4000000</v>
      </c>
      <c r="E10" s="2" t="s">
        <v>40</v>
      </c>
      <c r="F10" s="3">
        <f>SUM(F2:F9)</f>
        <v>251496255</v>
      </c>
    </row>
    <row r="11" spans="1:6" x14ac:dyDescent="0.2">
      <c r="B11" s="1" t="s">
        <v>45</v>
      </c>
      <c r="C11" s="3">
        <f>(2.5*225000*2.5)</f>
        <v>1406250</v>
      </c>
      <c r="E11" s="1" t="s">
        <v>57</v>
      </c>
      <c r="F11" s="6">
        <f>F10*0.45</f>
        <v>113173314.75</v>
      </c>
    </row>
    <row r="12" spans="1:6" x14ac:dyDescent="0.2">
      <c r="B12" s="2" t="s">
        <v>40</v>
      </c>
      <c r="C12" s="3">
        <f>SUM(C3:C11)</f>
        <v>16896250</v>
      </c>
      <c r="E12" s="1" t="s">
        <v>58</v>
      </c>
      <c r="F12" s="7">
        <f>(F3+F4+F5)*0.04</f>
        <v>3978000</v>
      </c>
    </row>
    <row r="13" spans="1:6" x14ac:dyDescent="0.2">
      <c r="A13" s="4" t="s">
        <v>0</v>
      </c>
      <c r="E13" s="1" t="s">
        <v>56</v>
      </c>
      <c r="F13" s="8">
        <f>F10+F11+F12</f>
        <v>368647569.75</v>
      </c>
    </row>
    <row r="14" spans="1:6" x14ac:dyDescent="0.2">
      <c r="B14" s="1" t="s">
        <v>15</v>
      </c>
      <c r="C14" s="3">
        <f>(0.25*225000*5)+(0.25*450000*5)</f>
        <v>843750</v>
      </c>
    </row>
    <row r="15" spans="1:6" x14ac:dyDescent="0.2">
      <c r="B15" s="1" t="s">
        <v>8</v>
      </c>
      <c r="C15" s="3">
        <f>(1*225000*5)+(1*450000*5)</f>
        <v>3375000</v>
      </c>
    </row>
    <row r="16" spans="1:6" x14ac:dyDescent="0.2">
      <c r="B16" s="1" t="s">
        <v>24</v>
      </c>
      <c r="C16" s="3">
        <f>(0.1*225000*5)+(0.1*450000*5)</f>
        <v>337500</v>
      </c>
    </row>
    <row r="17" spans="1:4" x14ac:dyDescent="0.2">
      <c r="B17" s="1" t="s">
        <v>41</v>
      </c>
      <c r="C17" s="3">
        <f>(2*400000*5)</f>
        <v>4000000</v>
      </c>
    </row>
    <row r="18" spans="1:4" x14ac:dyDescent="0.2">
      <c r="B18" s="1" t="s">
        <v>13</v>
      </c>
      <c r="C18" s="3">
        <f>(2.5*225000*2.5)</f>
        <v>1406250</v>
      </c>
    </row>
    <row r="19" spans="1:4" x14ac:dyDescent="0.2">
      <c r="B19" s="1" t="s">
        <v>22</v>
      </c>
      <c r="C19" s="3">
        <f>(2.5*225000*2.5)</f>
        <v>1406250</v>
      </c>
    </row>
    <row r="20" spans="1:4" x14ac:dyDescent="0.2">
      <c r="B20" s="2" t="s">
        <v>40</v>
      </c>
      <c r="C20" s="3">
        <f>SUM(C14:C19)</f>
        <v>11368750</v>
      </c>
    </row>
    <row r="21" spans="1:4" x14ac:dyDescent="0.2">
      <c r="A21" s="4" t="s">
        <v>1</v>
      </c>
    </row>
    <row r="22" spans="1:4" x14ac:dyDescent="0.2">
      <c r="B22" s="1" t="s">
        <v>31</v>
      </c>
      <c r="C22" s="3">
        <f>(5*225000*5)</f>
        <v>5625000</v>
      </c>
      <c r="D22" s="1" t="s">
        <v>38</v>
      </c>
    </row>
    <row r="23" spans="1:4" x14ac:dyDescent="0.2">
      <c r="B23" s="1" t="s">
        <v>15</v>
      </c>
      <c r="C23" s="3">
        <f>(0.25*225000*5)+(0.25*450000*5)</f>
        <v>843750</v>
      </c>
    </row>
    <row r="24" spans="1:4" x14ac:dyDescent="0.2">
      <c r="B24" s="1" t="s">
        <v>47</v>
      </c>
      <c r="C24" s="3">
        <v>25000000</v>
      </c>
    </row>
    <row r="25" spans="1:4" x14ac:dyDescent="0.2">
      <c r="B25" s="1" t="s">
        <v>49</v>
      </c>
      <c r="C25" s="3">
        <f>(3*225000*5)+5000000</f>
        <v>8375000</v>
      </c>
    </row>
    <row r="26" spans="1:4" x14ac:dyDescent="0.2">
      <c r="B26" s="1" t="s">
        <v>14</v>
      </c>
      <c r="C26" s="3">
        <f>(5*225000*5)</f>
        <v>5625000</v>
      </c>
    </row>
    <row r="27" spans="1:4" x14ac:dyDescent="0.2">
      <c r="B27" s="1" t="s">
        <v>28</v>
      </c>
      <c r="C27" s="3">
        <v>100000</v>
      </c>
    </row>
    <row r="28" spans="1:4" x14ac:dyDescent="0.2">
      <c r="B28" s="1" t="s">
        <v>12</v>
      </c>
      <c r="C28" s="3">
        <f>(2.5*225000*2.5)</f>
        <v>1406250</v>
      </c>
    </row>
    <row r="29" spans="1:4" x14ac:dyDescent="0.2">
      <c r="B29" s="2" t="s">
        <v>40</v>
      </c>
      <c r="C29" s="3">
        <f>SUM(C22:C28)</f>
        <v>46975000</v>
      </c>
    </row>
    <row r="30" spans="1:4" x14ac:dyDescent="0.2">
      <c r="A30" s="4" t="s">
        <v>2</v>
      </c>
    </row>
    <row r="31" spans="1:4" x14ac:dyDescent="0.2">
      <c r="B31" s="1" t="s">
        <v>50</v>
      </c>
      <c r="C31" s="3">
        <f>(5*225000*5)</f>
        <v>5625000</v>
      </c>
    </row>
    <row r="32" spans="1:4" x14ac:dyDescent="0.2">
      <c r="B32" s="1" t="s">
        <v>46</v>
      </c>
      <c r="C32" s="3">
        <f>(2.5*225000*2.5)</f>
        <v>1406250</v>
      </c>
    </row>
    <row r="33" spans="1:3" x14ac:dyDescent="0.2">
      <c r="B33" s="1" t="s">
        <v>10</v>
      </c>
      <c r="C33" s="3">
        <f>(60000*25)+100000</f>
        <v>1600000</v>
      </c>
    </row>
    <row r="34" spans="1:3" x14ac:dyDescent="0.2">
      <c r="B34" s="1" t="s">
        <v>9</v>
      </c>
      <c r="C34" s="3">
        <f>(60000*25)+100000</f>
        <v>1600000</v>
      </c>
    </row>
    <row r="35" spans="1:3" x14ac:dyDescent="0.2">
      <c r="B35" s="1" t="s">
        <v>11</v>
      </c>
      <c r="C35" s="3">
        <f>(25*100000)</f>
        <v>2500000</v>
      </c>
    </row>
    <row r="36" spans="1:3" x14ac:dyDescent="0.2">
      <c r="B36" s="1" t="s">
        <v>48</v>
      </c>
      <c r="C36" s="3">
        <v>25000000</v>
      </c>
    </row>
    <row r="37" spans="1:3" x14ac:dyDescent="0.2">
      <c r="B37" s="1" t="s">
        <v>12</v>
      </c>
      <c r="C37" s="3">
        <f>(6*225000*2.5)</f>
        <v>3375000</v>
      </c>
    </row>
    <row r="38" spans="1:3" x14ac:dyDescent="0.2">
      <c r="B38" s="2" t="s">
        <v>40</v>
      </c>
      <c r="C38" s="3">
        <f>SUM(C31:C37)</f>
        <v>41106250</v>
      </c>
    </row>
    <row r="39" spans="1:3" x14ac:dyDescent="0.2">
      <c r="A39" s="4" t="s">
        <v>3</v>
      </c>
    </row>
    <row r="40" spans="1:3" x14ac:dyDescent="0.2">
      <c r="B40" s="1" t="s">
        <v>50</v>
      </c>
      <c r="C40" s="3">
        <f>(5*225000*5)</f>
        <v>5625000</v>
      </c>
    </row>
    <row r="41" spans="1:3" x14ac:dyDescent="0.2">
      <c r="B41" s="1" t="s">
        <v>25</v>
      </c>
      <c r="C41" s="3">
        <f>(4*225000*2.5)+2000000</f>
        <v>4250000</v>
      </c>
    </row>
    <row r="42" spans="1:3" x14ac:dyDescent="0.2">
      <c r="B42" s="1" t="s">
        <v>51</v>
      </c>
      <c r="C42" s="3">
        <v>15000000</v>
      </c>
    </row>
    <row r="43" spans="1:3" x14ac:dyDescent="0.2">
      <c r="B43" s="1" t="s">
        <v>32</v>
      </c>
      <c r="C43" s="3">
        <v>5000000</v>
      </c>
    </row>
    <row r="44" spans="1:3" x14ac:dyDescent="0.2">
      <c r="B44" s="1" t="s">
        <v>33</v>
      </c>
      <c r="C44" s="3">
        <v>5000000</v>
      </c>
    </row>
    <row r="45" spans="1:3" x14ac:dyDescent="0.2">
      <c r="B45" s="1" t="s">
        <v>37</v>
      </c>
      <c r="C45" s="3">
        <v>5000000</v>
      </c>
    </row>
    <row r="46" spans="1:3" x14ac:dyDescent="0.2">
      <c r="B46" s="1" t="s">
        <v>34</v>
      </c>
      <c r="C46" s="3">
        <v>5000000</v>
      </c>
    </row>
    <row r="47" spans="1:3" x14ac:dyDescent="0.2">
      <c r="B47" s="2" t="s">
        <v>40</v>
      </c>
      <c r="C47" s="3">
        <f>SUM(C40:C46)</f>
        <v>44875000</v>
      </c>
    </row>
    <row r="48" spans="1:3" x14ac:dyDescent="0.2">
      <c r="A48" s="4" t="s">
        <v>17</v>
      </c>
    </row>
    <row r="49" spans="1:4" x14ac:dyDescent="0.2">
      <c r="B49" s="1" t="s">
        <v>15</v>
      </c>
      <c r="C49" s="3">
        <f>(5*225000*5)</f>
        <v>5625000</v>
      </c>
    </row>
    <row r="50" spans="1:4" x14ac:dyDescent="0.2">
      <c r="B50" s="1" t="s">
        <v>18</v>
      </c>
      <c r="C50" s="3">
        <f>(2000000*2*5)</f>
        <v>20000000</v>
      </c>
    </row>
    <row r="51" spans="1:4" x14ac:dyDescent="0.2">
      <c r="B51" s="1" t="s">
        <v>52</v>
      </c>
      <c r="C51" s="3">
        <f>(2000000*1*5)</f>
        <v>10000000</v>
      </c>
    </row>
    <row r="52" spans="1:4" x14ac:dyDescent="0.2">
      <c r="B52" s="1" t="s">
        <v>19</v>
      </c>
      <c r="C52" s="3">
        <v>2000000</v>
      </c>
    </row>
    <row r="53" spans="1:4" x14ac:dyDescent="0.2">
      <c r="B53" s="1" t="s">
        <v>35</v>
      </c>
      <c r="C53" s="3">
        <f>(1*125000*3)</f>
        <v>375000</v>
      </c>
    </row>
    <row r="54" spans="1:4" x14ac:dyDescent="0.2">
      <c r="B54" s="2" t="s">
        <v>40</v>
      </c>
      <c r="C54" s="3">
        <f>SUM(C49:C53)</f>
        <v>38000000</v>
      </c>
    </row>
    <row r="55" spans="1:4" x14ac:dyDescent="0.2">
      <c r="A55" s="4" t="s">
        <v>4</v>
      </c>
    </row>
    <row r="56" spans="1:4" x14ac:dyDescent="0.2">
      <c r="B56" s="1" t="s">
        <v>15</v>
      </c>
      <c r="C56" s="3">
        <f>(2.5*225000*5)</f>
        <v>2812500</v>
      </c>
    </row>
    <row r="57" spans="1:4" x14ac:dyDescent="0.2">
      <c r="B57" s="1" t="s">
        <v>21</v>
      </c>
      <c r="C57" s="3">
        <f>(2.5*225000*5)</f>
        <v>2812500</v>
      </c>
    </row>
    <row r="58" spans="1:4" x14ac:dyDescent="0.2">
      <c r="B58" s="1" t="s">
        <v>23</v>
      </c>
      <c r="C58" s="3">
        <f>(0.5*225000*5)</f>
        <v>562500</v>
      </c>
      <c r="D58" s="1" t="s">
        <v>39</v>
      </c>
    </row>
    <row r="59" spans="1:4" x14ac:dyDescent="0.2">
      <c r="B59" s="1" t="s">
        <v>53</v>
      </c>
      <c r="C59" s="3">
        <f>(80000*5)+(5+200000*5*5)</f>
        <v>5400005</v>
      </c>
    </row>
    <row r="60" spans="1:4" x14ac:dyDescent="0.2">
      <c r="B60" s="1" t="s">
        <v>35</v>
      </c>
      <c r="C60" s="3">
        <f>(1*125000*3)</f>
        <v>375000</v>
      </c>
    </row>
    <row r="61" spans="1:4" x14ac:dyDescent="0.2">
      <c r="B61" s="2" t="s">
        <v>40</v>
      </c>
      <c r="C61" s="3">
        <f>SUM(C56:C60)</f>
        <v>11962505</v>
      </c>
    </row>
    <row r="62" spans="1:4" x14ac:dyDescent="0.2">
      <c r="A62" s="4" t="s">
        <v>55</v>
      </c>
    </row>
    <row r="63" spans="1:4" x14ac:dyDescent="0.2">
      <c r="B63" s="1" t="s">
        <v>15</v>
      </c>
      <c r="C63" s="3">
        <f>(2.5*225000*2.5)</f>
        <v>1406250</v>
      </c>
    </row>
    <row r="64" spans="1:4" x14ac:dyDescent="0.2">
      <c r="B64" s="1" t="s">
        <v>29</v>
      </c>
      <c r="C64" s="3">
        <f>(2.5*225000*2.5)</f>
        <v>1406250</v>
      </c>
    </row>
    <row r="65" spans="2:3" x14ac:dyDescent="0.2">
      <c r="B65" s="1" t="s">
        <v>30</v>
      </c>
      <c r="C65" s="3">
        <f>(150000*25)</f>
        <v>3750000</v>
      </c>
    </row>
    <row r="66" spans="2:3" x14ac:dyDescent="0.2">
      <c r="B66" s="1" t="s">
        <v>31</v>
      </c>
      <c r="C66" s="3">
        <f>(25*3*300000*1.5)</f>
        <v>33750000</v>
      </c>
    </row>
    <row r="67" spans="2:3" x14ac:dyDescent="0.2">
      <c r="B67" s="2" t="s">
        <v>40</v>
      </c>
      <c r="C67" s="3">
        <f>SUM(C63:C66)</f>
        <v>40312500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2022-05-16T16:44:10Z</dcterms:created>
  <dcterms:modified xsi:type="dcterms:W3CDTF">2022-05-24T16:27:52Z</dcterms:modified>
</cp:coreProperties>
</file>